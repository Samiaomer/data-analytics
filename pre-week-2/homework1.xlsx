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Analytics/pre-week-2/"/>
    </mc:Choice>
  </mc:AlternateContent>
  <xr:revisionPtr revIDLastSave="0" documentId="13_ncr:1_{0ADC8EF9-06DD-6844-87A0-50E3B238AB51}" xr6:coauthVersionLast="47" xr6:coauthVersionMax="47" xr10:uidLastSave="{00000000-0000-0000-0000-000000000000}"/>
  <bookViews>
    <workbookView xWindow="1520" yWindow="1320" windowWidth="27640" windowHeight="16880" xr2:uid="{84D7F0E5-C2C5-5E49-8C12-9F7417A06E5C}"/>
  </bookViews>
  <sheets>
    <sheet name="Stor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D5" i="1"/>
  <c r="D4" i="1"/>
  <c r="D3" i="1"/>
  <c r="C3" i="1"/>
  <c r="D2" i="1"/>
  <c r="C5" i="1"/>
  <c r="C4" i="1"/>
  <c r="C2" i="1"/>
</calcChain>
</file>

<file path=xl/sharedStrings.xml><?xml version="1.0" encoding="utf-8"?>
<sst xmlns="http://schemas.openxmlformats.org/spreadsheetml/2006/main" count="14" uniqueCount="14">
  <si>
    <t xml:space="preserve">Store </t>
  </si>
  <si>
    <t xml:space="preserve">Store A </t>
  </si>
  <si>
    <t xml:space="preserve">Store B </t>
  </si>
  <si>
    <t>Store C</t>
  </si>
  <si>
    <t xml:space="preserve">Store D </t>
  </si>
  <si>
    <t xml:space="preserve">Store G </t>
  </si>
  <si>
    <t xml:space="preserve">Store H </t>
  </si>
  <si>
    <t>Store E</t>
  </si>
  <si>
    <t>Store F</t>
  </si>
  <si>
    <t xml:space="preserve">Store I </t>
  </si>
  <si>
    <t xml:space="preserve">Store J </t>
  </si>
  <si>
    <t xml:space="preserve">Store K </t>
  </si>
  <si>
    <t xml:space="preserve">Store l </t>
  </si>
  <si>
    <t xml:space="preserve">Monthely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</si>
</sst>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9B7E-30E1-9D47-ACDF-B88D4BA343D0}">
  <dimension ref="A1:D13"/>
  <sheetViews>
    <sheetView tabSelected="1" zoomScale="190" zoomScaleNormal="190" workbookViewId="0">
      <selection activeCell="D4" sqref="D4"/>
    </sheetView>
  </sheetViews>
  <sheetFormatPr baseColWidth="10" defaultRowHeight="16" x14ac:dyDescent="0.2"/>
  <cols>
    <col min="2" max="2" width="16.1640625" customWidth="1"/>
    <col min="3" max="3" width="17.5" customWidth="1"/>
  </cols>
  <sheetData>
    <row r="1" spans="1:4" x14ac:dyDescent="0.2">
      <c r="A1" t="s">
        <v>0</v>
      </c>
      <c r="B1" t="s">
        <v>13</v>
      </c>
    </row>
    <row r="2" spans="1:4" x14ac:dyDescent="0.2">
      <c r="A2" t="s">
        <v>1</v>
      </c>
      <c r="B2">
        <v>51</v>
      </c>
      <c r="C2">
        <f>AVERAGE(B2:B13)</f>
        <v>49.416666666666664</v>
      </c>
      <c r="D2">
        <f>AVERAGE(B2:B8, B10:B13)</f>
        <v>47.363636363636367</v>
      </c>
    </row>
    <row r="3" spans="1:4" x14ac:dyDescent="0.2">
      <c r="A3" t="s">
        <v>2</v>
      </c>
      <c r="B3">
        <v>44</v>
      </c>
      <c r="C3">
        <f>MEDIAN(B2:B13)</f>
        <v>47.5</v>
      </c>
      <c r="D3">
        <f>MEDIAN(B2:B8, B10:B13)</f>
        <v>47</v>
      </c>
    </row>
    <row r="4" spans="1:4" x14ac:dyDescent="0.2">
      <c r="A4" t="s">
        <v>3</v>
      </c>
      <c r="B4">
        <v>49</v>
      </c>
      <c r="C4">
        <f>_xlfn.MODE.SNGL(B2:B13)</f>
        <v>46</v>
      </c>
      <c r="D4">
        <f>_xlfn.MODE.SNGL(B2:B8, B10:B13)</f>
        <v>46</v>
      </c>
    </row>
    <row r="5" spans="1:4" x14ac:dyDescent="0.2">
      <c r="A5" t="s">
        <v>4</v>
      </c>
      <c r="B5">
        <v>46</v>
      </c>
      <c r="C5">
        <f>MAX(B2:B13)-MIN(B2:B13)</f>
        <v>29</v>
      </c>
      <c r="D5">
        <f>MAX(B2:B8, B10-B13)-MIN(B2:B8, B10-B13)</f>
        <v>59</v>
      </c>
    </row>
    <row r="6" spans="1:4" x14ac:dyDescent="0.2">
      <c r="A6" t="s">
        <v>7</v>
      </c>
      <c r="B6">
        <v>52</v>
      </c>
      <c r="C6">
        <f>_xlfn.STDEV.S(B2:B13)</f>
        <v>7.6331613054586773</v>
      </c>
      <c r="D6">
        <f>_xlfn.STDEV.S(B2:B8, B10:B13)</f>
        <v>2.9076701075853588</v>
      </c>
    </row>
    <row r="7" spans="1:4" x14ac:dyDescent="0.2">
      <c r="A7" t="s">
        <v>8</v>
      </c>
      <c r="B7">
        <v>47</v>
      </c>
    </row>
    <row r="8" spans="1:4" x14ac:dyDescent="0.2">
      <c r="A8" t="s">
        <v>5</v>
      </c>
      <c r="B8">
        <v>45</v>
      </c>
    </row>
    <row r="9" spans="1:4" x14ac:dyDescent="0.2">
      <c r="A9" t="s">
        <v>6</v>
      </c>
      <c r="B9">
        <v>72</v>
      </c>
    </row>
    <row r="10" spans="1:4" x14ac:dyDescent="0.2">
      <c r="A10" t="s">
        <v>9</v>
      </c>
      <c r="B10">
        <v>43</v>
      </c>
    </row>
    <row r="11" spans="1:4" x14ac:dyDescent="0.2">
      <c r="A11" t="s">
        <v>10</v>
      </c>
      <c r="B11">
        <v>48</v>
      </c>
    </row>
    <row r="12" spans="1:4" x14ac:dyDescent="0.2">
      <c r="A12" t="s">
        <v>11</v>
      </c>
      <c r="B12">
        <v>46</v>
      </c>
    </row>
    <row r="13" spans="1:4" x14ac:dyDescent="0.2">
      <c r="A13" t="s">
        <v>12</v>
      </c>
      <c r="B1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2026-03-27T02:02:13Z</dcterms:created>
  <dcterms:modified xsi:type="dcterms:W3CDTF">2026-03-27T03:37:04Z</dcterms:modified>
</cp:coreProperties>
</file>