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hidePivotFieldList="1"/>
  <mc:AlternateContent xmlns:mc="http://schemas.openxmlformats.org/markup-compatibility/2006">
    <mc:Choice Requires="x15">
      <x15ac:absPath xmlns:x15ac="http://schemas.microsoft.com/office/spreadsheetml/2010/11/ac" url="/Users/samiaomer/Documents/DataAnalytics/week-01/"/>
    </mc:Choice>
  </mc:AlternateContent>
  <xr:revisionPtr revIDLastSave="0" documentId="8_{FF9CA5AA-620A-7E4E-8237-86C93F0E1118}" xr6:coauthVersionLast="47" xr6:coauthVersionMax="47" xr10:uidLastSave="{00000000-0000-0000-0000-000000000000}"/>
  <bookViews>
    <workbookView xWindow="0" yWindow="760" windowWidth="18600" windowHeight="6800" activeTab="1" xr2:uid="{00000000-000D-0000-FFFF-FFFF00000000}"/>
  </bookViews>
  <sheets>
    <sheet name="Sheet1" sheetId="1" r:id="rId1"/>
    <sheet name="Sheet2" sheetId="2" r:id="rId2"/>
  </sheet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L11" i="1"/>
  <c r="K11" i="1"/>
  <c r="J11" i="1"/>
  <c r="I11" i="1"/>
  <c r="H11" i="1"/>
  <c r="G11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<sst xmlns="http://schemas.openxmlformats.org/spreadsheetml/2006/main" count="86" uniqueCount="52">
  <si>
    <t>Id</t>
  </si>
  <si>
    <t>Start time</t>
  </si>
  <si>
    <t>Completion time</t>
  </si>
  <si>
    <t>Time to complete</t>
  </si>
  <si>
    <t>Email</t>
  </si>
  <si>
    <t>Name</t>
  </si>
  <si>
    <t xml:space="preserve">What did you order during your visit?
</t>
  </si>
  <si>
    <t xml:space="preserve">How often do you visit Haraz Coffee House. 
</t>
  </si>
  <si>
    <t>How was the customer service?
.Statement 1</t>
  </si>
  <si>
    <t>How was the customer service?
.Statement 2</t>
  </si>
  <si>
    <t>How would you rate the quality of our coffee and drinks?
.Statement 1</t>
  </si>
  <si>
    <t>How would you rate the quality of our coffee and drinks?
.Statement 2</t>
  </si>
  <si>
    <t>How satisfied were you with your recent visit?</t>
  </si>
  <si>
    <t>saraya@my.yearupunited.org</t>
  </si>
  <si>
    <t>saliem araya</t>
  </si>
  <si>
    <t>Adeni/Karak Chai</t>
  </si>
  <si>
    <t>5 times a week</t>
  </si>
  <si>
    <t>Option 4</t>
  </si>
  <si>
    <t>Good</t>
  </si>
  <si>
    <t>tzergaw@my.yearupunited.org</t>
  </si>
  <si>
    <t>tihitina zergaw</t>
  </si>
  <si>
    <t>Yemeni Style Coffee with Cream and Cardamom</t>
  </si>
  <si>
    <t>Weekly</t>
  </si>
  <si>
    <t>Option 3</t>
  </si>
  <si>
    <t>locelotllopez@my.yearupunited.org</t>
  </si>
  <si>
    <t>luis ocelotllopez</t>
  </si>
  <si>
    <t>never</t>
  </si>
  <si>
    <t>Option 5</t>
  </si>
  <si>
    <t>Poor</t>
  </si>
  <si>
    <t>Very good</t>
  </si>
  <si>
    <t>achanthadara@my.yearupunited.org</t>
  </si>
  <si>
    <t>alexus chanthadara</t>
  </si>
  <si>
    <t>0</t>
  </si>
  <si>
    <t>hmerawi@my.yearupunited.org</t>
  </si>
  <si>
    <t>hana merawi</t>
  </si>
  <si>
    <t>dalily</t>
  </si>
  <si>
    <t>Excellent</t>
  </si>
  <si>
    <t>BHambleton@YearUp.org</t>
  </si>
  <si>
    <t>Bess Hambleton</t>
  </si>
  <si>
    <t>maybe a few times a month?</t>
  </si>
  <si>
    <t>dmulugeta@my.yearupunited.org</t>
  </si>
  <si>
    <t>dagmawi mulugeta</t>
  </si>
  <si>
    <t>twice a week</t>
  </si>
  <si>
    <t>bcollins@my.yearupunited.org</t>
  </si>
  <si>
    <t>blake collins</t>
  </si>
  <si>
    <t>cpalacios@my.yearupunited.org</t>
  </si>
  <si>
    <t>charles palacios</t>
  </si>
  <si>
    <t xml:space="preserve">At least 2 times a week! </t>
  </si>
  <si>
    <t>Option 1</t>
  </si>
  <si>
    <t>Row Labels</t>
  </si>
  <si>
    <t xml:space="preserve">Count of How often do you visit Haraz Coffee House. 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</si>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</sst>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/>
    <xf numFmtId="45" fontId="0" fillId="0" borderId="0" xfId="0" applyNumberFormat="1"/>
    <xf numFmtId="49" fontId="0" fillId="0" borderId="0" xfId="0" applyNumberFormat="1"/>
    <xf numFmtId="0" fontId="0" fillId="0" borderId="0" xfId="0" quotePrefix="1"/>
  </cellXfs>
  <cellStyles count="1">
    <cellStyle name="Normal" xfId="0" builtinId="0"/>
  </cellStyles>
  <dxfs count="13"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8" formatCode="mm:ss"/>
    </dxf>
    <dxf>
      <numFmt numFmtId="166" formatCode="m/d/yyyy\ h:mm"/>
    </dxf>
    <dxf>
      <numFmt numFmtId="166" formatCode="m/d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[Haraz Coffee House_EX5B.xlsx]Sheet2!PivotTable1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DD5A13"/>
                </a:solidFill>
              </a:rPr>
              <a:t>Rating of Haraz Coffee Quality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4B084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C6E0B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9BC2E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F4B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A5-7943-9A17-7587F9E17ECD}"/>
              </c:ext>
            </c:extLst>
          </c:dPt>
          <c:dPt>
            <c:idx val="1"/>
            <c:bubble3D val="0"/>
            <c:spPr>
              <a:solidFill>
                <a:srgbClr val="C6E0B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A5-7943-9A17-7587F9E17ECD}"/>
              </c:ext>
            </c:extLst>
          </c:dPt>
          <c:dPt>
            <c:idx val="2"/>
            <c:bubble3D val="0"/>
            <c:spPr>
              <a:solidFill>
                <a:srgbClr val="9BC2E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A5-7943-9A17-7587F9E17E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Sheet2!$A$3:$A$6</c:f>
              <c:strCache>
                <c:ptCount val="3"/>
                <c:pt idx="0">
                  <c:v>Excellent</c:v>
                </c:pt>
                <c:pt idx="1">
                  <c:v>Good</c:v>
                </c:pt>
                <c:pt idx="2">
                  <c:v>Poor</c:v>
                </c:pt>
              </c:strCache>
            </c:strRef>
          </c:cat>
          <c:val>
            <c:numRef>
              <c:f>Sheet2!$B$3:$B$6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A5-7943-9A17-7587F9E17E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81d79f8-6f11-443d-abd4-38887b22663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0</xdr:row>
      <xdr:rowOff>180975</xdr:rowOff>
    </xdr:from>
    <xdr:to>
      <xdr:col>10</xdr:col>
      <xdr:colOff>257175</xdr:colOff>
      <xdr:row>15</xdr:row>
      <xdr:rowOff>66675</xdr:rowOff>
    </xdr:to>
    <xdr:graphicFrame macro="">
      <xdr:nvGraphicFramePr>
        <xdr:cNvPr id="2" name="Chart 1" descr="Chart type: Doughnut. Excellent accounts for the majority of 'How would you rate the quality of our coffee and drinks?&#10;.Statement 1'.&#10;&#10;Description automatically generated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4.786829398101" createdVersion="8" refreshedVersion="8" minRefreshableVersion="3" recordCount="9" xr:uid="{00000000-000A-0000-FFFF-FFFF00000000}">
  <cacheSource type="worksheet">
    <worksheetSource ref="A1:M10" sheet="Sheet1"/>
  </cacheSource>
  <cacheFields count="13">
    <cacheField name="Id" numFmtId="0">
      <sharedItems containsSemiMixedTypes="0" containsNonDate="0" containsString="0"/>
    </cacheField>
    <cacheField name="Start time" numFmtId="22">
      <sharedItems containsSemiMixedTypes="0" containsNonDate="0" containsString="0"/>
    </cacheField>
    <cacheField name="Completion time" numFmtId="22">
      <sharedItems containsSemiMixedTypes="0" containsNonDate="0" containsString="0"/>
    </cacheField>
    <cacheField name="Time to complete" numFmtId="45">
      <sharedItems containsSemiMixedTypes="0" containsNonDate="0" containsString="0"/>
    </cacheField>
    <cacheField name="Email" numFmtId="0">
      <sharedItems containsSemiMixedTypes="0" containsNonDate="0" containsString="0"/>
    </cacheField>
    <cacheField name="Name" numFmtId="0">
      <sharedItems containsSemiMixedTypes="0" containsNonDate="0" containsString="0"/>
    </cacheField>
    <cacheField name="What did you order during your visit?_x000a_" numFmtId="0">
      <sharedItems containsSemiMixedTypes="0" containsNonDate="0" containsString="0"/>
    </cacheField>
    <cacheField name="How often do you visit Haraz Coffee House. _x000a_" numFmtId="0">
      <sharedItems containsSemiMixedTypes="0" containsNonDate="0" containsString="0"/>
    </cacheField>
    <cacheField name="How was the customer service?_x000a_.Statement 1" numFmtId="0">
      <sharedItems containsSemiMixedTypes="0" containsNonDate="0" containsString="0"/>
    </cacheField>
    <cacheField name="How was the customer service?_x000a_.Statement 2" numFmtId="0">
      <sharedItems containsSemiMixedTypes="0" containsNonDate="0" containsString="0"/>
    </cacheField>
    <cacheField name="How would you rate the quality of our coffee and drinks?_x000a_.Statement 1" numFmtId="0">
      <sharedItems count="3">
        <s v="Good"/>
        <s v="Poor"/>
        <s v="Excellent"/>
      </sharedItems>
    </cacheField>
    <cacheField name="How would you rate the quality of our coffee and drinks?_x000a_.Statement 2" numFmtId="0">
      <sharedItems containsSemiMixedTypes="0" containsNonDate="0" containsString="0"/>
    </cacheField>
    <cacheField name="How satisfied were you with your recent visit?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"/>
    <d v="2026-04-09T15:58:26"/>
    <d v="2026-04-09T15:59:23"/>
    <d v="1899-12-30T00:00:57"/>
    <s v="saraya@my.yearupunited.org"/>
    <s v="saliem araya"/>
    <s v="Adeni/Karak Chai"/>
    <s v="5 times a week"/>
    <s v="Option 4"/>
    <s v="Option 4"/>
    <x v="0"/>
    <s v="Good"/>
    <n v="3"/>
  </r>
  <r>
    <n v="2"/>
    <d v="2026-04-09T16:06:39"/>
    <d v="2026-04-09T16:08:02"/>
    <d v="1899-12-30T00:01:23"/>
    <s v="tzergaw@my.yearupunited.org"/>
    <s v="tihitina zergaw"/>
    <s v="Yemeni Style Coffee with Cream and Cardamom"/>
    <s v="Weekly"/>
    <s v="Option 3"/>
    <m/>
    <x v="0"/>
    <m/>
    <n v="4"/>
  </r>
  <r>
    <n v="3"/>
    <d v="2026-04-09T19:20:39"/>
    <d v="2026-04-09T19:20:56"/>
    <d v="1899-12-30T00:00:17"/>
    <s v="locelotllopez@my.yearupunited.org"/>
    <s v="luis ocelotllopez"/>
    <s v="Yemeni Style Coffee with Cream and Cardamom"/>
    <s v="never"/>
    <s v="Option 4"/>
    <s v="Option 5"/>
    <x v="1"/>
    <s v="Very good"/>
    <n v="4"/>
  </r>
  <r>
    <n v="4"/>
    <d v="2026-04-09T20:27:20"/>
    <d v="2026-04-09T20:28:59"/>
    <d v="1899-12-30T00:01:39"/>
    <s v="achanthadara@my.yearupunited.org"/>
    <s v="alexus chanthadara"/>
    <m/>
    <s v="0"/>
    <s v="Option 3"/>
    <s v="Option 3"/>
    <x v="0"/>
    <s v="Good"/>
    <n v="3"/>
  </r>
  <r>
    <n v="5"/>
    <d v="2026-04-10T03:16:11"/>
    <d v="2026-04-10T03:16:52"/>
    <d v="1899-12-30T00:00:41"/>
    <s v="hmerawi@my.yearupunited.org"/>
    <s v="hana merawi"/>
    <s v="Yemeni Style Coffee with Cream and Cardamom"/>
    <s v="dalily"/>
    <s v="Option 5"/>
    <s v="Option 4"/>
    <x v="2"/>
    <s v="Good"/>
    <n v="5"/>
  </r>
  <r>
    <n v="6"/>
    <d v="2026-04-10T08:44:57"/>
    <d v="2026-04-10T08:46:11"/>
    <d v="1899-12-30T00:01:14"/>
    <s v="BHambleton@YearUp.org"/>
    <s v="Bess Hambleton"/>
    <s v="Yemeni Style Coffee with Cream and Cardamom"/>
    <s v="maybe a few times a month?"/>
    <s v="Option 5"/>
    <s v="Option 4"/>
    <x v="2"/>
    <s v="Excellent"/>
    <n v="5"/>
  </r>
  <r>
    <n v="7"/>
    <d v="2026-04-10T11:55:12"/>
    <d v="2026-04-10T11:55:43"/>
    <d v="1899-12-30T00:00:31"/>
    <s v="dmulugeta@my.yearupunited.org"/>
    <s v="dagmawi mulugeta"/>
    <s v="Yemeni Style Coffee with Cream and Cardamom"/>
    <s v="twice a week"/>
    <s v="Option 5"/>
    <s v="Option 5"/>
    <x v="2"/>
    <s v="Excellent"/>
    <n v="5"/>
  </r>
  <r>
    <n v="8"/>
    <d v="2026-04-10T11:55:29"/>
    <d v="2026-04-10T11:56:41"/>
    <d v="1899-12-30T00:01:12"/>
    <s v="bcollins@my.yearupunited.org"/>
    <s v="blake collins"/>
    <s v="Yemeni Style Coffee with Cream and Cardamom"/>
    <s v="Option 5"/>
    <s v="Option 5"/>
    <s v="Option 5"/>
    <x v="2"/>
    <s v="Excellent"/>
    <n v="5"/>
  </r>
  <r>
    <n v="9"/>
    <d v="2026-04-10T12:00:11"/>
    <d v="2026-04-10T12:00:45"/>
    <d v="1899-12-30T00:00:34"/>
    <s v="cpalacios@my.yearupunited.org"/>
    <s v="charles palacios"/>
    <s v="Yemeni Style Coffee with Cream and Cardamom"/>
    <s v="At least 2 times a week! "/>
    <s v="Option 1"/>
    <m/>
    <x v="2"/>
    <m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5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1">
  <location ref="A2:B6" firstHeaderRow="1" firstDataRow="1" firstDataCol="1"/>
  <pivotFields count="13">
    <pivotField showAll="0"/>
    <pivotField numFmtId="22" showAll="0"/>
    <pivotField numFmtId="22" showAll="0"/>
    <pivotField numFmtId="45" showAll="0"/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How often do you visit Haraz Coffee House. _x000a_" fld="7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M11" totalsRowCount="1">
  <autoFilter ref="A1:M10" xr:uid="{00000000-0009-0000-0100-000001000000}"/>
  <tableColumns count="13">
    <tableColumn id="1" xr3:uid="{00000000-0010-0000-0000-000001000000}" name="Id" dataDxfId="12"/>
    <tableColumn id="2" xr3:uid="{00000000-0010-0000-0000-000002000000}" name="Start time" dataDxfId="11"/>
    <tableColumn id="3" xr3:uid="{00000000-0010-0000-0000-000003000000}" name="Completion time" dataDxfId="10"/>
    <tableColumn id="14" xr3:uid="{00000000-0010-0000-0000-00000E000000}" name="Time to complete" totalsRowFunction="custom" dataDxfId="9">
      <calculatedColumnFormula>C2-B2</calculatedColumnFormula>
      <totalsRowFormula>AVERAGE(D2:D10)</totalsRowFormula>
    </tableColumn>
    <tableColumn id="4" xr3:uid="{00000000-0010-0000-0000-000004000000}" name="Email" dataDxfId="8"/>
    <tableColumn id="5" xr3:uid="{00000000-0010-0000-0000-000005000000}" name="Name" dataDxfId="7"/>
    <tableColumn id="6" xr3:uid="{00000000-0010-0000-0000-000006000000}" name="What did you order during your visit?_x000a_" totalsRowFunction="custom" dataDxfId="6">
      <totalsRowFormula>COUNTIF(G2:G10,"Yemeni Style Coffee with Cream and Cardamom")</totalsRowFormula>
    </tableColumn>
    <tableColumn id="7" xr3:uid="{00000000-0010-0000-0000-000007000000}" name="How often do you visit Haraz Coffee House. _x000a_" totalsRowFunction="custom" dataDxfId="5">
      <totalsRowFormula>COUNTIF(H2:H10,"5 times a week")</totalsRowFormula>
    </tableColumn>
    <tableColumn id="8" xr3:uid="{00000000-0010-0000-0000-000008000000}" name="How was the customer service?_x000a_.Statement 1" totalsRowFunction="custom" dataDxfId="4">
      <totalsRowFormula>COUNTIF(I2:I10,"Option 5")</totalsRowFormula>
    </tableColumn>
    <tableColumn id="9" xr3:uid="{00000000-0010-0000-0000-000009000000}" name="How was the customer service?_x000a_.Statement 2" totalsRowFunction="custom" dataDxfId="3">
      <totalsRowFormula>COUNTIF(J2:J10,"Option 4")</totalsRowFormula>
    </tableColumn>
    <tableColumn id="10" xr3:uid="{00000000-0010-0000-0000-00000A000000}" name="How would you rate the quality of our coffee and drinks?_x000a_.Statement 1" totalsRowFunction="custom" dataDxfId="2">
      <totalsRowFormula>COUNTIF(K2:K10,"Excellent")</totalsRowFormula>
    </tableColumn>
    <tableColumn id="11" xr3:uid="{00000000-0010-0000-0000-00000B000000}" name="How would you rate the quality of our coffee and drinks?_x000a_.Statement 2" totalsRowFunction="custom" dataDxfId="1">
      <totalsRowFormula>COUNTIF(L2:L10,"Excellent")</totalsRowFormula>
    </tableColumn>
    <tableColumn id="12" xr3:uid="{00000000-0010-0000-0000-00000C000000}" name="How satisfied were you with your recent visit?" totalsRowFunction="custom" dataDxfId="0">
      <totalsRowFormula>COUNTIF(M2:M10,"5")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workbookViewId="0">
      <selection activeCell="K1" sqref="H1:H11 K1:K11"/>
    </sheetView>
  </sheetViews>
  <sheetFormatPr baseColWidth="10" defaultColWidth="9" defaultRowHeight="15" x14ac:dyDescent="0.2"/>
  <cols>
    <col min="1" max="1" width="20" customWidth="1"/>
    <col min="2" max="3" width="20" style="2" customWidth="1"/>
    <col min="4" max="4" width="19.1640625" style="3" customWidth="1"/>
    <col min="5" max="6" width="20" customWidth="1"/>
    <col min="7" max="7" width="42" customWidth="1"/>
    <col min="8" max="8" width="43.33203125" customWidth="1"/>
    <col min="9" max="9" width="43.83203125" customWidth="1"/>
    <col min="10" max="10" width="20" customWidth="1"/>
    <col min="11" max="12" width="67.33203125" customWidth="1"/>
    <col min="13" max="13" width="20" customWidth="1"/>
  </cols>
  <sheetData>
    <row r="1" spans="1:13" x14ac:dyDescent="0.2">
      <c r="A1" t="s">
        <v>0</v>
      </c>
      <c r="B1" s="2" t="s">
        <v>1</v>
      </c>
      <c r="C1" s="2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s="2">
        <v>46121.665578703702</v>
      </c>
      <c r="C2" s="2">
        <v>46121.666238425903</v>
      </c>
      <c r="D2" s="3">
        <f t="shared" ref="D2:D10" si="0">C2-B2</f>
        <v>6.5972222364507605E-4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  <c r="K2" t="s">
        <v>18</v>
      </c>
      <c r="L2" t="s">
        <v>18</v>
      </c>
      <c r="M2">
        <v>3</v>
      </c>
    </row>
    <row r="3" spans="1:13" x14ac:dyDescent="0.2">
      <c r="A3">
        <v>2</v>
      </c>
      <c r="B3" s="2">
        <v>46121.671284722201</v>
      </c>
      <c r="C3" s="2">
        <v>46121.672245370399</v>
      </c>
      <c r="D3" s="3">
        <f t="shared" si="0"/>
        <v>9.6064814715646196E-4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K3" t="s">
        <v>18</v>
      </c>
      <c r="M3">
        <v>4</v>
      </c>
    </row>
    <row r="4" spans="1:13" x14ac:dyDescent="0.2">
      <c r="A4">
        <v>3</v>
      </c>
      <c r="B4" s="2">
        <v>46121.806006944404</v>
      </c>
      <c r="C4" s="2">
        <v>46121.806203703702</v>
      </c>
      <c r="D4" s="3">
        <f t="shared" si="0"/>
        <v>1.9675925432238701E-4</v>
      </c>
      <c r="E4" t="s">
        <v>24</v>
      </c>
      <c r="F4" t="s">
        <v>25</v>
      </c>
      <c r="G4" t="s">
        <v>21</v>
      </c>
      <c r="H4" t="s">
        <v>26</v>
      </c>
      <c r="I4" t="s">
        <v>17</v>
      </c>
      <c r="J4" t="s">
        <v>27</v>
      </c>
      <c r="K4" t="s">
        <v>28</v>
      </c>
      <c r="L4" t="s">
        <v>29</v>
      </c>
      <c r="M4">
        <v>4</v>
      </c>
    </row>
    <row r="5" spans="1:13" x14ac:dyDescent="0.2">
      <c r="A5">
        <v>4</v>
      </c>
      <c r="B5" s="2">
        <v>46121.852314814802</v>
      </c>
      <c r="C5" s="2">
        <v>46121.853460648097</v>
      </c>
      <c r="D5" s="3">
        <f t="shared" si="0"/>
        <v>1.14583333197515E-3</v>
      </c>
      <c r="E5" t="s">
        <v>30</v>
      </c>
      <c r="F5" t="s">
        <v>31</v>
      </c>
      <c r="H5" s="5" t="s">
        <v>32</v>
      </c>
      <c r="I5" t="s">
        <v>23</v>
      </c>
      <c r="J5" t="s">
        <v>23</v>
      </c>
      <c r="K5" t="s">
        <v>18</v>
      </c>
      <c r="L5" t="s">
        <v>18</v>
      </c>
      <c r="M5">
        <v>3</v>
      </c>
    </row>
    <row r="6" spans="1:13" x14ac:dyDescent="0.2">
      <c r="A6">
        <v>5</v>
      </c>
      <c r="B6" s="2">
        <v>46122.136238425897</v>
      </c>
      <c r="C6" s="2">
        <v>46122.136712963002</v>
      </c>
      <c r="D6" s="3">
        <f t="shared" si="0"/>
        <v>4.7453703882638398E-4</v>
      </c>
      <c r="E6" t="s">
        <v>33</v>
      </c>
      <c r="F6" t="s">
        <v>34</v>
      </c>
      <c r="G6" t="s">
        <v>21</v>
      </c>
      <c r="H6" t="s">
        <v>35</v>
      </c>
      <c r="I6" t="s">
        <v>27</v>
      </c>
      <c r="J6" t="s">
        <v>17</v>
      </c>
      <c r="K6" t="s">
        <v>36</v>
      </c>
      <c r="L6" t="s">
        <v>18</v>
      </c>
      <c r="M6">
        <v>5</v>
      </c>
    </row>
    <row r="7" spans="1:13" x14ac:dyDescent="0.2">
      <c r="A7">
        <v>6</v>
      </c>
      <c r="B7" s="2">
        <v>46122.364548611098</v>
      </c>
      <c r="C7" s="2">
        <v>46122.365405092598</v>
      </c>
      <c r="D7" s="3">
        <f t="shared" si="0"/>
        <v>8.56481477967463E-4</v>
      </c>
      <c r="E7" t="s">
        <v>37</v>
      </c>
      <c r="F7" t="s">
        <v>38</v>
      </c>
      <c r="G7" t="s">
        <v>21</v>
      </c>
      <c r="H7" t="s">
        <v>39</v>
      </c>
      <c r="I7" t="s">
        <v>27</v>
      </c>
      <c r="J7" t="s">
        <v>17</v>
      </c>
      <c r="K7" t="s">
        <v>36</v>
      </c>
      <c r="L7" t="s">
        <v>36</v>
      </c>
      <c r="M7">
        <v>5</v>
      </c>
    </row>
    <row r="8" spans="1:13" x14ac:dyDescent="0.2">
      <c r="A8">
        <v>7</v>
      </c>
      <c r="B8" s="2">
        <v>46122.496666666702</v>
      </c>
      <c r="C8" s="2">
        <v>46122.497025463003</v>
      </c>
      <c r="D8" s="3">
        <f t="shared" si="0"/>
        <v>3.5879630013369002E-4</v>
      </c>
      <c r="E8" t="s">
        <v>40</v>
      </c>
      <c r="F8" t="s">
        <v>41</v>
      </c>
      <c r="G8" t="s">
        <v>21</v>
      </c>
      <c r="H8" t="s">
        <v>42</v>
      </c>
      <c r="I8" t="s">
        <v>27</v>
      </c>
      <c r="J8" t="s">
        <v>27</v>
      </c>
      <c r="K8" t="s">
        <v>36</v>
      </c>
      <c r="L8" t="s">
        <v>36</v>
      </c>
      <c r="M8">
        <v>5</v>
      </c>
    </row>
    <row r="9" spans="1:13" x14ac:dyDescent="0.2">
      <c r="A9">
        <v>8</v>
      </c>
      <c r="B9" s="2">
        <v>46122.496863425898</v>
      </c>
      <c r="C9" s="2">
        <v>46122.497696759303</v>
      </c>
      <c r="D9" s="3">
        <f t="shared" si="0"/>
        <v>8.3333333168411595E-4</v>
      </c>
      <c r="E9" t="s">
        <v>43</v>
      </c>
      <c r="F9" t="s">
        <v>44</v>
      </c>
      <c r="G9" t="s">
        <v>21</v>
      </c>
      <c r="H9" t="s">
        <v>27</v>
      </c>
      <c r="I9" t="s">
        <v>27</v>
      </c>
      <c r="J9" t="s">
        <v>27</v>
      </c>
      <c r="K9" t="s">
        <v>36</v>
      </c>
      <c r="L9" t="s">
        <v>36</v>
      </c>
      <c r="M9">
        <v>5</v>
      </c>
    </row>
    <row r="10" spans="1:13" x14ac:dyDescent="0.2">
      <c r="A10">
        <v>9</v>
      </c>
      <c r="B10" s="2">
        <v>46122.500127314801</v>
      </c>
      <c r="C10" s="2">
        <v>46122.500520833302</v>
      </c>
      <c r="D10" s="3">
        <f t="shared" si="0"/>
        <v>3.9351851592073201E-4</v>
      </c>
      <c r="E10" t="s">
        <v>45</v>
      </c>
      <c r="F10" t="s">
        <v>46</v>
      </c>
      <c r="G10" t="s">
        <v>21</v>
      </c>
      <c r="H10" t="s">
        <v>47</v>
      </c>
      <c r="I10" t="s">
        <v>48</v>
      </c>
      <c r="K10" t="s">
        <v>36</v>
      </c>
      <c r="M10">
        <v>5</v>
      </c>
    </row>
    <row r="11" spans="1:13" x14ac:dyDescent="0.2">
      <c r="D11" s="3">
        <f>AVERAGE(D2:D10)</f>
        <v>6.5329218018127396E-4</v>
      </c>
      <c r="E11" s="4"/>
      <c r="F11" s="4"/>
      <c r="G11">
        <f>COUNTIF(G2:G10,"Yemeni Style Coffee with Cream and Cardamom")</f>
        <v>7</v>
      </c>
      <c r="H11">
        <f>COUNTIF(H2:H10,"5 times a week")</f>
        <v>1</v>
      </c>
      <c r="I11">
        <f>COUNTIF(I2:I10,"Option 5")</f>
        <v>4</v>
      </c>
      <c r="J11">
        <f>COUNTIF(J2:J10,"Option 4")</f>
        <v>3</v>
      </c>
      <c r="K11">
        <f>COUNTIF(K2:K10,"Excellent")</f>
        <v>5</v>
      </c>
      <c r="L11">
        <f>COUNTIF(L2:L10,"Excellent")</f>
        <v>3</v>
      </c>
      <c r="M11">
        <f>COUNTIF(M2:M10,"5")</f>
        <v>5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6"/>
  <sheetViews>
    <sheetView tabSelected="1" workbookViewId="0">
      <selection activeCell="N11" sqref="N11"/>
    </sheetView>
  </sheetViews>
  <sheetFormatPr baseColWidth="10" defaultColWidth="9" defaultRowHeight="15" x14ac:dyDescent="0.2"/>
  <cols>
    <col min="1" max="1" width="14.33203125" customWidth="1"/>
    <col min="2" max="2" width="49.5" customWidth="1"/>
  </cols>
  <sheetData>
    <row r="2" spans="1:2" x14ac:dyDescent="0.2">
      <c r="A2" t="s">
        <v>49</v>
      </c>
      <c r="B2" t="s">
        <v>50</v>
      </c>
    </row>
    <row r="3" spans="1:2" x14ac:dyDescent="0.2">
      <c r="A3" s="1" t="s">
        <v>36</v>
      </c>
      <c r="B3">
        <v>5</v>
      </c>
    </row>
    <row r="4" spans="1:2" x14ac:dyDescent="0.2">
      <c r="A4" s="1" t="s">
        <v>18</v>
      </c>
      <c r="B4">
        <v>3</v>
      </c>
    </row>
    <row r="5" spans="1:2" x14ac:dyDescent="0.2">
      <c r="A5" s="1" t="s">
        <v>28</v>
      </c>
      <c r="B5">
        <v>1</v>
      </c>
    </row>
    <row r="6" spans="1:2" x14ac:dyDescent="0.2">
      <c r="A6" s="1" t="s">
        <v>51</v>
      </c>
      <c r="B6">
        <v>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Samia Omer</cp:lastModifiedBy>
  <dcterms:created xsi:type="dcterms:W3CDTF">2026-04-11T02:31:00Z</dcterms:created>
  <dcterms:modified xsi:type="dcterms:W3CDTF">2026-04-13T02:57:10Z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FE2DADCBD1184801A07F263AE54C19AF_12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